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lenceanalytical.sharepoint.com/Shared Documents/Lab Reports/Raw Data from 1260/Tirzepatide/Tirzepatide_std_T910D3309_Calibration Curve/"/>
    </mc:Choice>
  </mc:AlternateContent>
  <xr:revisionPtr revIDLastSave="3152" documentId="8_{573DBB5C-7650-4115-8767-411480D34423}" xr6:coauthVersionLast="47" xr6:coauthVersionMax="47" xr10:uidLastSave="{0162C00C-92FD-4116-92B1-D55FCAFCF117}"/>
  <bookViews>
    <workbookView xWindow="-120" yWindow="-120" windowWidth="23280" windowHeight="14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D39" i="1"/>
  <c r="P6" i="1"/>
  <c r="E19" i="1"/>
  <c r="G5" i="1"/>
  <c r="C72" i="1"/>
  <c r="B80" i="1" s="1"/>
  <c r="B72" i="1"/>
  <c r="H64" i="1"/>
  <c r="G64" i="1"/>
  <c r="F64" i="1"/>
  <c r="H60" i="1"/>
  <c r="G60" i="1"/>
  <c r="F60" i="1"/>
  <c r="H32" i="1"/>
  <c r="A32" i="1" s="1"/>
  <c r="E34" i="1"/>
  <c r="F34" i="1"/>
  <c r="L2" i="1"/>
  <c r="L3" i="1"/>
  <c r="L4" i="1"/>
  <c r="L5" i="1"/>
  <c r="L6" i="1"/>
  <c r="P2" i="1"/>
  <c r="G2" i="1"/>
  <c r="N2" i="1" s="1"/>
  <c r="G3" i="1"/>
  <c r="N3" i="1" s="1"/>
  <c r="G4" i="1"/>
  <c r="N4" i="1" s="1"/>
  <c r="N5" i="1"/>
  <c r="P5" i="1"/>
  <c r="P3" i="1"/>
  <c r="P4" i="1"/>
  <c r="K39" i="1"/>
  <c r="E46" i="1" s="1"/>
  <c r="V2" i="1"/>
  <c r="B55" i="1"/>
  <c r="F46" i="1"/>
  <c r="B51" i="1"/>
  <c r="B68" i="1" l="1"/>
  <c r="C68" i="1" s="1"/>
  <c r="D68" i="1"/>
  <c r="E68" i="1"/>
  <c r="D72" i="1"/>
  <c r="Q6" i="1" s="1"/>
  <c r="G46" i="1"/>
  <c r="F32" i="1"/>
  <c r="G32" i="1" s="1"/>
  <c r="O5" i="1" l="1"/>
  <c r="F19" i="1"/>
  <c r="D19" i="1"/>
  <c r="A19" i="1" s="1"/>
  <c r="Q4" i="1"/>
  <c r="Q3" i="1"/>
  <c r="Q5" i="1"/>
  <c r="Q2" i="1"/>
  <c r="M6" i="1"/>
  <c r="M5" i="1"/>
  <c r="M4" i="1"/>
  <c r="M3" i="1"/>
  <c r="M2" i="1"/>
  <c r="O2" i="1"/>
  <c r="O3" i="1"/>
  <c r="O4" i="1"/>
  <c r="H5" i="1"/>
  <c r="H2" i="1"/>
  <c r="H3" i="1"/>
  <c r="H4" i="1"/>
  <c r="B34" i="1"/>
  <c r="D34" i="1"/>
  <c r="F3" i="1" l="1"/>
  <c r="I6" i="1" l="1"/>
  <c r="F6" i="1"/>
  <c r="E3" i="1"/>
  <c r="R3" i="1"/>
  <c r="F2" i="1"/>
  <c r="E6" i="1"/>
  <c r="F5" i="1"/>
  <c r="R5" i="1" s="1"/>
  <c r="F4" i="1"/>
  <c r="B6" i="1" l="1"/>
  <c r="R6" i="1"/>
  <c r="F39" i="1" s="1"/>
  <c r="G6" i="1"/>
  <c r="H6" i="1" s="1"/>
  <c r="I5" i="1"/>
  <c r="K5" i="1" s="1"/>
  <c r="E4" i="1"/>
  <c r="R4" i="1"/>
  <c r="R2" i="1"/>
  <c r="E2" i="1"/>
  <c r="E5" i="1"/>
  <c r="R9" i="1" l="1"/>
  <c r="K6" i="1"/>
  <c r="J6" i="1"/>
  <c r="N6" i="1"/>
  <c r="O6" i="1" s="1"/>
  <c r="B5" i="1"/>
  <c r="J5" i="1"/>
  <c r="B4" i="1"/>
  <c r="I3" i="1" s="1"/>
  <c r="J3" i="1" s="1"/>
  <c r="I4" i="1" l="1"/>
  <c r="K4" i="1" s="1"/>
  <c r="J4" i="1"/>
  <c r="B3" i="1"/>
  <c r="K3" i="1"/>
  <c r="B2" i="1" l="1"/>
  <c r="I2" i="1"/>
  <c r="K2" i="1" s="1"/>
  <c r="J2" i="1" l="1"/>
  <c r="E39" i="1"/>
  <c r="G39" i="1"/>
  <c r="H39" i="1"/>
  <c r="I39" i="1"/>
  <c r="B46" i="1"/>
  <c r="J39" i="1"/>
  <c r="D4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A5429-8396-443C-9F57-10726F58D878}" keepAlive="1" name="Query - Tirzepatide_12_5 dx_DAD1A" description="Connection to the 'Tirzepatide_12_5 dx_DAD1A' query in the workbook." type="5" refreshedVersion="8" background="1" saveData="1">
    <dbPr connection="Provider=Microsoft.Mashup.OleDb.1;Data Source=$Workbook$;Location=&quot;Tirzepatide_12_5 dx_DAD1A&quot;;Extended Properties=&quot;&quot;" command="SELECT * FROM [Tirzepatide_12_5 dx_DAD1A]"/>
  </connection>
  <connection id="2" xr16:uid="{8180D601-9CC0-4DCF-92F8-4D8FE0ED1475}" keepAlive="1" name="Query - Tirzepatide_250 dx_DAD1A" description="Connection to the 'Tirzepatide_250 dx_DAD1A' query in the workbook." type="5" refreshedVersion="8" background="1" saveData="1">
    <dbPr connection="Provider=Microsoft.Mashup.OleDb.1;Data Source=$Workbook$;Location=&quot;Tirzepatide_250 dx_DAD1A&quot;;Extended Properties=&quot;&quot;" command="SELECT * FROM [Tirzepatide_250 dx_DAD1A]"/>
  </connection>
</connections>
</file>

<file path=xl/sharedStrings.xml><?xml version="1.0" encoding="utf-8"?>
<sst xmlns="http://schemas.openxmlformats.org/spreadsheetml/2006/main" count="101" uniqueCount="91">
  <si>
    <t>Standard Label</t>
  </si>
  <si>
    <t>Actual Concentration</t>
  </si>
  <si>
    <t>Target Conc. (µg/mL) (C2)</t>
  </si>
  <si>
    <t>Total Volume Wanted (uL)</t>
  </si>
  <si>
    <t>Volume remaining</t>
  </si>
  <si>
    <t>Total Volume Aquired</t>
  </si>
  <si>
    <t xml:space="preserve">Theoretical Std Volume to add (µL) (V1) </t>
  </si>
  <si>
    <t xml:space="preserve">Theoretical Std Volume to add (mg) (V1) </t>
  </si>
  <si>
    <t xml:space="preserve">adjusted Theoretical Std Volume to add (mL) (V1) </t>
  </si>
  <si>
    <t>Micropippette settimg</t>
  </si>
  <si>
    <t xml:space="preserve">adjusted Theoretical Std Volume to add (mg) (V1) </t>
  </si>
  <si>
    <t>Actual Std Volume added (mg)</t>
  </si>
  <si>
    <t>Actual Std Volume added (uL)</t>
  </si>
  <si>
    <t>Theoretical Diluent volume to add (uL)</t>
  </si>
  <si>
    <t>Adjusted Diluent Volume to add (mg)</t>
  </si>
  <si>
    <t>Actual Diluent volume added (mg)</t>
  </si>
  <si>
    <t>Actual Diluent Volume added (uL)</t>
  </si>
  <si>
    <t>Dilution Factor</t>
  </si>
  <si>
    <t>Peak Area</t>
  </si>
  <si>
    <t>Observed Purities</t>
  </si>
  <si>
    <t>RT</t>
  </si>
  <si>
    <t>%RSD RT</t>
  </si>
  <si>
    <t>Std 1</t>
  </si>
  <si>
    <t>Std 2</t>
  </si>
  <si>
    <t>Std 3</t>
  </si>
  <si>
    <t>Std 4</t>
  </si>
  <si>
    <t>Std 5</t>
  </si>
  <si>
    <t>Serial Dilution</t>
  </si>
  <si>
    <t>Weight Vial and cap (mg)</t>
  </si>
  <si>
    <t>Weight of Vial cap and Diluent (mg)</t>
  </si>
  <si>
    <t>Weight of Vial cap and Diluent and sample (mg)</t>
  </si>
  <si>
    <t>Stock</t>
  </si>
  <si>
    <t>Stock calculation</t>
  </si>
  <si>
    <t>Stock Conc. (µg/mL) (C1)</t>
  </si>
  <si>
    <t>weight (mg)</t>
  </si>
  <si>
    <t>weight (mg) From COA</t>
  </si>
  <si>
    <t>Actual Volume added (mL)</t>
  </si>
  <si>
    <t>Actual Volume added (mg)</t>
  </si>
  <si>
    <t>Target Buffer B volume  (mg)</t>
  </si>
  <si>
    <t>Theoretical Buffer B volume  (mL)</t>
  </si>
  <si>
    <t>Purity From COA</t>
  </si>
  <si>
    <t>Cap Color</t>
  </si>
  <si>
    <t>Light Purple</t>
  </si>
  <si>
    <t>API Stock Conc. (µg/mL) (C1)</t>
  </si>
  <si>
    <t>API weight (mg)</t>
  </si>
  <si>
    <t>Water added volume  (mL)</t>
  </si>
  <si>
    <t>ACN added (mL)</t>
  </si>
  <si>
    <t>ACN added mg</t>
  </si>
  <si>
    <t>percent ACN</t>
  </si>
  <si>
    <t>percent water</t>
  </si>
  <si>
    <t>Total volume added (mL)</t>
  </si>
  <si>
    <t>API Target conc</t>
  </si>
  <si>
    <t>Actual Conc  (µg/mL)</t>
  </si>
  <si>
    <t>Actual volume added (µL)</t>
  </si>
  <si>
    <t xml:space="preserve">Theoretical volume to be added Volume (µL) (V1) </t>
  </si>
  <si>
    <t>Diluent Volume (µL)</t>
  </si>
  <si>
    <t>Total Volume (uL)</t>
  </si>
  <si>
    <t>Injection</t>
  </si>
  <si>
    <t>Unknown Peak area</t>
  </si>
  <si>
    <t>Average Unknown Peak area</t>
  </si>
  <si>
    <t>Determined Concentration (µg/mL)</t>
  </si>
  <si>
    <t>Undiluted Concentration (ug/mL)</t>
  </si>
  <si>
    <t>mass (ug)</t>
  </si>
  <si>
    <t>Determined mass (mg)</t>
  </si>
  <si>
    <t>Purity</t>
  </si>
  <si>
    <t>Purity (Area%)</t>
  </si>
  <si>
    <t>Data Comparison Valence Analytical vs COAs</t>
  </si>
  <si>
    <t>Determined Weight (mg)</t>
  </si>
  <si>
    <t>COA Weight/Provided Weight (mg)</t>
  </si>
  <si>
    <t>Weight Percent Error</t>
  </si>
  <si>
    <t>Determined Purity (%)</t>
  </si>
  <si>
    <t>COA Purity/Provided Purity (%)</t>
  </si>
  <si>
    <t>Purity Percent Error</t>
  </si>
  <si>
    <t>Density of ACN g/mL</t>
  </si>
  <si>
    <t>Density of ACN mg/mL</t>
  </si>
  <si>
    <t>Solvent Dissolution</t>
  </si>
  <si>
    <t>Water amount added (uL)</t>
  </si>
  <si>
    <t>Concentration of DMF in Sample (%)</t>
  </si>
  <si>
    <t>Concentration of Water in sample  (%)</t>
  </si>
  <si>
    <t>Concentration of ACN in sample  (%)</t>
  </si>
  <si>
    <t>Volume of DMF added (uL)</t>
  </si>
  <si>
    <t>Volume of Water added (uL)</t>
  </si>
  <si>
    <t>Volume of ACN added (uL)</t>
  </si>
  <si>
    <t>ACN Volume Added (uL)</t>
  </si>
  <si>
    <t>Total volume (uL)</t>
  </si>
  <si>
    <t>Percent DMF in dissolution  (%)</t>
  </si>
  <si>
    <t>Percent Water in dissolution  (%)</t>
  </si>
  <si>
    <t>Percent ACN in dissolution</t>
  </si>
  <si>
    <t>Density of water (mg/mL)</t>
  </si>
  <si>
    <t>Density of ACN (mg/mL)</t>
  </si>
  <si>
    <t>Overall Diluent Density (mg/mL)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</si>
</sst>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"/>
    <numFmt numFmtId="166" formatCode="0.0%"/>
  </numFmts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3" xfId="0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4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0" fontId="0" fillId="0" borderId="3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2" fontId="0" fillId="0" borderId="3" xfId="0" applyNumberFormat="1" applyBorder="1" applyAlignment="1">
      <alignment horizontal="center"/>
    </xf>
    <xf numFmtId="166" fontId="0" fillId="0" borderId="0" xfId="0" applyNumberFormat="1"/>
    <xf numFmtId="0" fontId="0" fillId="6" borderId="4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Sheet1!$B$2:$B$6</c:f>
              <c:numCache>
                <c:formatCode>0.000</c:formatCode>
                <c:ptCount val="5"/>
                <c:pt idx="0">
                  <c:v>12.811613921474937</c:v>
                </c:pt>
                <c:pt idx="1">
                  <c:v>25.176797429136027</c:v>
                </c:pt>
                <c:pt idx="2">
                  <c:v>50.921596391165529</c:v>
                </c:pt>
                <c:pt idx="3">
                  <c:v>100.81437008708727</c:v>
                </c:pt>
                <c:pt idx="4">
                  <c:v>249.68677854720244</c:v>
                </c:pt>
              </c:numCache>
            </c:numRef>
          </c:xVal>
          <c:yVal>
            <c:numRef>
              <c:f>Sheet1!$S$2:$S$6</c:f>
              <c:numCache>
                <c:formatCode>General</c:formatCode>
                <c:ptCount val="5"/>
                <c:pt idx="0">
                  <c:v>56.985999999999997</c:v>
                </c:pt>
                <c:pt idx="1">
                  <c:v>107.767</c:v>
                </c:pt>
                <c:pt idx="2">
                  <c:v>214.68199999999999</c:v>
                </c:pt>
                <c:pt idx="3">
                  <c:v>411.40699999999998</c:v>
                </c:pt>
                <c:pt idx="4">
                  <c:v>1021.457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48-42CB-ADFD-E421307C8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645871"/>
        <c:axId val="1344671791"/>
      </c:scatterChart>
      <c:valAx>
        <c:axId val="1344645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(µg/mL)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71791"/>
        <c:crosses val="autoZero"/>
        <c:crossBetween val="midCat"/>
      </c:valAx>
      <c:valAx>
        <c:axId val="1344671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4587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1600200</xdr:colOff>
      <xdr:row>11</xdr:row>
      <xdr:rowOff>28575</xdr:rowOff>
    </xdr:from>
    <xdr:to>
      <xdr:col>13</xdr:col>
      <xdr:colOff>2247900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E3480-78E5-E718-6F40-13D318630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showGridLines="0" tabSelected="1" topLeftCell="M1" zoomScale="115" zoomScaleNormal="115" workbookViewId="0">
      <selection activeCell="S14" sqref="S14"/>
    </sheetView>
  </sheetViews>
  <sheetFormatPr defaultRowHeight="15"/>
  <cols>
    <col min="1" max="1" width="26.5703125" style="2" bestFit="1" customWidth="1"/>
    <col min="2" max="2" width="23.28515625" style="2" bestFit="1" customWidth="1"/>
    <col min="3" max="3" width="32.28515625" style="2" bestFit="1" customWidth="1"/>
    <col min="4" max="4" width="45.42578125" style="2" bestFit="1" customWidth="1"/>
    <col min="5" max="5" width="32.5703125" style="2" bestFit="1" customWidth="1"/>
    <col min="6" max="6" width="28.7109375" style="2" bestFit="1" customWidth="1"/>
    <col min="7" max="7" width="36.7109375" style="2" bestFit="1" customWidth="1"/>
    <col min="8" max="8" width="43.7109375" style="2" bestFit="1" customWidth="1"/>
    <col min="9" max="9" width="45.7109375" style="2" bestFit="1" customWidth="1"/>
    <col min="10" max="10" width="21" style="2" bestFit="1" customWidth="1"/>
    <col min="11" max="11" width="45.7109375" style="2" bestFit="1" customWidth="1"/>
    <col min="12" max="12" width="28.28515625" style="2" bestFit="1" customWidth="1"/>
    <col min="13" max="13" width="27.5703125" style="2" bestFit="1" customWidth="1"/>
    <col min="14" max="14" width="44" style="2" bestFit="1" customWidth="1"/>
    <col min="15" max="15" width="34.42578125" style="2" bestFit="1" customWidth="1"/>
    <col min="16" max="16" width="31.5703125" style="2" bestFit="1" customWidth="1"/>
    <col min="17" max="17" width="31.140625" style="2" bestFit="1" customWidth="1"/>
    <col min="18" max="18" width="14.140625" style="2" bestFit="1" customWidth="1"/>
    <col min="19" max="19" width="9.85546875" style="2" bestFit="1" customWidth="1"/>
    <col min="20" max="20" width="16.7109375" style="2" bestFit="1" customWidth="1"/>
    <col min="21" max="21" width="13.42578125" style="2" customWidth="1"/>
    <col min="22" max="22" width="8.85546875" style="2" bestFit="1" customWidth="1"/>
    <col min="23" max="16384" width="9.140625" style="2"/>
  </cols>
  <sheetData>
    <row r="1" spans="1:2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2" t="s">
        <v>22</v>
      </c>
      <c r="B2" s="8">
        <f>M2*B3/$F$5</f>
        <v>12.811613921474937</v>
      </c>
      <c r="C2" s="5">
        <v>12.5</v>
      </c>
      <c r="D2" s="2">
        <v>300</v>
      </c>
      <c r="E2" s="2">
        <f>F2</f>
        <v>309.76654846335697</v>
      </c>
      <c r="F2" s="2">
        <f>M2+Q2</f>
        <v>309.76654846335697</v>
      </c>
      <c r="G2" s="2">
        <f t="shared" ref="G2:G4" si="0">C2*D2/C3</f>
        <v>150</v>
      </c>
      <c r="H2" s="2">
        <f t="shared" ref="H2:H5" si="1">G2*$D$72/1000</f>
        <v>145.02857142857141</v>
      </c>
      <c r="I2" s="5">
        <f>Q2*C2/(B3-C2)</f>
        <v>152.37643838002325</v>
      </c>
      <c r="J2" s="2">
        <f t="shared" ref="J2:J5" si="2">I2/2</f>
        <v>76.188219190011623</v>
      </c>
      <c r="K2" s="2">
        <f t="shared" ref="K2:K5" si="3">I2*$D$72/1000</f>
        <v>147.32624785085676</v>
      </c>
      <c r="L2" s="18">
        <f t="shared" ref="L2:L5" si="4">H10-G10</f>
        <v>150.09000000000015</v>
      </c>
      <c r="M2" s="5">
        <f t="shared" ref="M2:M5" si="5">L2/$D$72*1000</f>
        <v>155.23492907801435</v>
      </c>
      <c r="N2" s="3">
        <f t="shared" ref="N2:N4" si="6">((C3/C2)*G2)-G2</f>
        <v>150</v>
      </c>
      <c r="O2" s="2">
        <f t="shared" ref="O2:O5" si="7">N2*$D$72/1000</f>
        <v>145.02857142857141</v>
      </c>
      <c r="P2" s="2">
        <f>G10-F10</f>
        <v>149.40999999999985</v>
      </c>
      <c r="Q2" s="5">
        <f t="shared" ref="Q2:Q5" si="8">P2/$D$72*1000</f>
        <v>154.53161938534262</v>
      </c>
      <c r="R2" s="2">
        <f t="shared" ref="R2:R5" si="9">F2/M2</f>
        <v>1.9954693850356431</v>
      </c>
      <c r="S2" s="4">
        <v>56.985999999999997</v>
      </c>
      <c r="U2" s="2">
        <v>7.6429999999999998</v>
      </c>
      <c r="V2" s="2">
        <f>(STDEV(U2:U6)/AVERAGE(U2:U6))*100</f>
        <v>0.19588660404870392</v>
      </c>
    </row>
    <row r="3" spans="1:22">
      <c r="A3" s="2" t="s">
        <v>23</v>
      </c>
      <c r="B3" s="8">
        <f>M3*B4/$F$5</f>
        <v>25.176797429136027</v>
      </c>
      <c r="C3" s="6">
        <v>25</v>
      </c>
      <c r="D3" s="2">
        <v>300</v>
      </c>
      <c r="E3" s="2">
        <f>F3-M2</f>
        <v>149.47399527186761</v>
      </c>
      <c r="F3" s="2">
        <f>M3+Q3</f>
        <v>304.70892434988195</v>
      </c>
      <c r="G3" s="2">
        <f t="shared" si="0"/>
        <v>150</v>
      </c>
      <c r="H3" s="2">
        <f t="shared" si="1"/>
        <v>145.02857142857141</v>
      </c>
      <c r="I3" s="5">
        <f>Q3*C3/(B4-C3)</f>
        <v>148.40909228598548</v>
      </c>
      <c r="J3" s="2">
        <f>I3/2</f>
        <v>74.20454614299274</v>
      </c>
      <c r="K3" s="2">
        <f t="shared" si="3"/>
        <v>143.49039094164996</v>
      </c>
      <c r="L3" s="18">
        <f t="shared" si="4"/>
        <v>145.82999999999993</v>
      </c>
      <c r="M3" s="5">
        <f t="shared" si="5"/>
        <v>150.82890070921979</v>
      </c>
      <c r="N3" s="3">
        <f t="shared" si="6"/>
        <v>150</v>
      </c>
      <c r="O3" s="2">
        <f t="shared" si="7"/>
        <v>145.02857142857141</v>
      </c>
      <c r="P3" s="2">
        <f>G11-F11</f>
        <v>148.7800000000002</v>
      </c>
      <c r="Q3" s="5">
        <f t="shared" si="8"/>
        <v>153.88002364066213</v>
      </c>
      <c r="R3" s="2">
        <f t="shared" si="9"/>
        <v>2.0202290338064888</v>
      </c>
      <c r="S3" s="4">
        <v>107.767</v>
      </c>
      <c r="U3" s="2">
        <v>7.633</v>
      </c>
    </row>
    <row r="4" spans="1:22">
      <c r="A4" s="2" t="s">
        <v>24</v>
      </c>
      <c r="B4" s="8">
        <f>M4*B5/$F$5</f>
        <v>50.921596391165529</v>
      </c>
      <c r="C4" s="5">
        <v>50</v>
      </c>
      <c r="D4" s="2">
        <v>300</v>
      </c>
      <c r="E4" s="2">
        <f>F4-M3</f>
        <v>157.95508274231707</v>
      </c>
      <c r="F4" s="2">
        <f>M4+Q4</f>
        <v>308.78398345153687</v>
      </c>
      <c r="G4" s="2">
        <f t="shared" si="0"/>
        <v>150</v>
      </c>
      <c r="H4" s="2">
        <f t="shared" si="1"/>
        <v>145.02857142857141</v>
      </c>
      <c r="I4" s="5">
        <f>Q4*C4/(B5-C4)</f>
        <v>152.21787041125171</v>
      </c>
      <c r="J4" s="2">
        <f t="shared" si="2"/>
        <v>76.108935205625855</v>
      </c>
      <c r="K4" s="2">
        <f t="shared" si="3"/>
        <v>147.17293527762166</v>
      </c>
      <c r="L4" s="18">
        <f t="shared" si="4"/>
        <v>148.98000000000002</v>
      </c>
      <c r="M4" s="5">
        <f t="shared" si="5"/>
        <v>154.08687943262413</v>
      </c>
      <c r="N4" s="3">
        <f t="shared" si="6"/>
        <v>150</v>
      </c>
      <c r="O4" s="2">
        <f t="shared" si="7"/>
        <v>145.02857142857141</v>
      </c>
      <c r="P4" s="2">
        <f>G12-F12</f>
        <v>149.57000000000016</v>
      </c>
      <c r="Q4" s="5">
        <f t="shared" si="8"/>
        <v>154.69710401891271</v>
      </c>
      <c r="R4" s="2">
        <f t="shared" si="9"/>
        <v>2.0039602631225679</v>
      </c>
      <c r="S4" s="4">
        <v>214.68199999999999</v>
      </c>
      <c r="U4" s="2">
        <v>7.6310000000000002</v>
      </c>
    </row>
    <row r="5" spans="1:22">
      <c r="A5" s="2" t="s">
        <v>25</v>
      </c>
      <c r="B5" s="8">
        <f>M5*B6/$F$5</f>
        <v>100.81437008708727</v>
      </c>
      <c r="C5" s="5">
        <v>100</v>
      </c>
      <c r="D5" s="2">
        <v>300</v>
      </c>
      <c r="E5" s="2">
        <f>F5-M4</f>
        <v>150.97369976359317</v>
      </c>
      <c r="F5" s="2">
        <f>M5+Q5</f>
        <v>305.0605791962173</v>
      </c>
      <c r="G5" s="2">
        <f>C5*D5/C6</f>
        <v>120</v>
      </c>
      <c r="H5" s="2">
        <f>G5*$D$72/1000</f>
        <v>116.02285714285715</v>
      </c>
      <c r="I5" s="5">
        <f>Q5*C5/(B6-C5)</f>
        <v>121.51260093755255</v>
      </c>
      <c r="J5" s="2">
        <f t="shared" si="2"/>
        <v>60.756300468776274</v>
      </c>
      <c r="K5" s="2">
        <f>I5*$D$72/1000</f>
        <v>117.48532616362225</v>
      </c>
      <c r="L5" s="18">
        <f t="shared" si="4"/>
        <v>119.09000000000015</v>
      </c>
      <c r="M5" s="5">
        <f t="shared" si="5"/>
        <v>123.17228132387721</v>
      </c>
      <c r="N5" s="3">
        <f>((C6/C5)*G5)-G5</f>
        <v>180</v>
      </c>
      <c r="O5" s="2">
        <f>N5*$D$72/1000</f>
        <v>174.03428571428572</v>
      </c>
      <c r="P5" s="2">
        <f>G13-F13</f>
        <v>175.85999999999967</v>
      </c>
      <c r="Q5" s="5">
        <f t="shared" si="8"/>
        <v>181.8882978723401</v>
      </c>
      <c r="R5" s="2">
        <f>F5/M5</f>
        <v>2.4766982954068308</v>
      </c>
      <c r="S5" s="4">
        <v>411.40699999999998</v>
      </c>
      <c r="T5" s="2">
        <v>96.742999999999995</v>
      </c>
      <c r="U5" s="2">
        <v>7.6239999999999997</v>
      </c>
    </row>
    <row r="6" spans="1:22">
      <c r="A6" s="2" t="s">
        <v>26</v>
      </c>
      <c r="B6" s="8">
        <f>M6*A19/$F$6</f>
        <v>249.68677854720244</v>
      </c>
      <c r="C6" s="5">
        <v>250</v>
      </c>
      <c r="D6" s="2">
        <v>300</v>
      </c>
      <c r="E6" s="2">
        <f>F6-M5</f>
        <v>183.37765957446828</v>
      </c>
      <c r="F6" s="2">
        <f>M6+Q6</f>
        <v>306.54994089834548</v>
      </c>
      <c r="G6" s="2">
        <f>C6*$D$6/$A$19</f>
        <v>75.83643617021275</v>
      </c>
      <c r="H6" s="2">
        <f>G6*$D$72/1000</f>
        <v>73.322999999999979</v>
      </c>
      <c r="I6" s="5">
        <f>Q6*C6/($A$19-C6)</f>
        <v>77.525029404099641</v>
      </c>
      <c r="J6" s="2">
        <f>I6/2</f>
        <v>38.76251470204982</v>
      </c>
      <c r="K6" s="2">
        <f>I6*$D$72/1000</f>
        <v>74.955628429563774</v>
      </c>
      <c r="L6" s="18">
        <f>H14-G14</f>
        <v>74.830000000000382</v>
      </c>
      <c r="M6" s="5">
        <f>L6/$D$72*1000</f>
        <v>77.395094562648154</v>
      </c>
      <c r="N6" s="3">
        <f>(A19/C6)*G6-G6</f>
        <v>224.16356382978725</v>
      </c>
      <c r="O6" s="2">
        <f>N6*$D$72/1000</f>
        <v>216.73414285714287</v>
      </c>
      <c r="P6" s="2">
        <f>G14-F14</f>
        <v>221.55999999999995</v>
      </c>
      <c r="Q6" s="5">
        <f>P6/$D$72*1000</f>
        <v>229.15484633569733</v>
      </c>
      <c r="R6" s="2">
        <f>F6/M6</f>
        <v>3.9608445810503645</v>
      </c>
      <c r="S6" s="4">
        <v>1021.457</v>
      </c>
      <c r="T6" s="2">
        <v>97.846999999999994</v>
      </c>
      <c r="U6" s="2">
        <v>7.6029999999999998</v>
      </c>
    </row>
    <row r="7" spans="1:22">
      <c r="C7" s="5"/>
      <c r="H7" s="3"/>
    </row>
    <row r="8" spans="1:22">
      <c r="C8" s="3" t="s">
        <v>27</v>
      </c>
    </row>
    <row r="9" spans="1:22">
      <c r="F9" s="2" t="s">
        <v>28</v>
      </c>
      <c r="G9" s="2" t="s">
        <v>29</v>
      </c>
      <c r="H9" s="2" t="s">
        <v>30</v>
      </c>
      <c r="R9" s="2">
        <f>R6*R5</f>
        <v>9.8098170222588212</v>
      </c>
    </row>
    <row r="10" spans="1:22">
      <c r="E10" s="2">
        <v>12.5</v>
      </c>
      <c r="F10" s="18">
        <v>2915.57</v>
      </c>
      <c r="G10" s="18">
        <v>3064.98</v>
      </c>
      <c r="H10" s="18">
        <v>3215.07</v>
      </c>
    </row>
    <row r="11" spans="1:22">
      <c r="E11" s="2">
        <v>25</v>
      </c>
      <c r="F11" s="18">
        <v>2942.24</v>
      </c>
      <c r="G11" s="18">
        <v>3091.02</v>
      </c>
      <c r="H11" s="18">
        <v>3236.85</v>
      </c>
    </row>
    <row r="12" spans="1:22">
      <c r="E12" s="2">
        <v>50</v>
      </c>
      <c r="F12" s="18">
        <v>2933.47</v>
      </c>
      <c r="G12" s="18">
        <v>3083.04</v>
      </c>
      <c r="H12" s="18">
        <v>3232.02</v>
      </c>
    </row>
    <row r="13" spans="1:22">
      <c r="E13" s="2">
        <v>100</v>
      </c>
      <c r="F13" s="18">
        <v>2921.76</v>
      </c>
      <c r="G13" s="18">
        <v>3097.62</v>
      </c>
      <c r="H13" s="18">
        <v>3216.71</v>
      </c>
    </row>
    <row r="14" spans="1:22">
      <c r="E14" s="2">
        <v>250</v>
      </c>
      <c r="F14" s="18">
        <v>2943.93</v>
      </c>
      <c r="G14" s="18">
        <v>3165.49</v>
      </c>
      <c r="H14" s="18">
        <v>3240.32</v>
      </c>
    </row>
    <row r="15" spans="1:22">
      <c r="E15" s="2" t="s">
        <v>31</v>
      </c>
      <c r="F15" s="18">
        <v>1574.1</v>
      </c>
      <c r="G15" s="18">
        <v>2551.7399999999998</v>
      </c>
    </row>
    <row r="17" spans="1:13">
      <c r="A17" s="21" t="s">
        <v>32</v>
      </c>
    </row>
    <row r="18" spans="1:13">
      <c r="A18" s="1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38</v>
      </c>
      <c r="G18" s="2" t="s">
        <v>39</v>
      </c>
      <c r="H18" s="2" t="s">
        <v>40</v>
      </c>
      <c r="I18" s="1"/>
    </row>
    <row r="19" spans="1:13">
      <c r="A19" s="5">
        <f>C19/D19*1000</f>
        <v>988.97052376860916</v>
      </c>
      <c r="C19" s="2">
        <v>1</v>
      </c>
      <c r="D19" s="2">
        <f>E19/D72</f>
        <v>1.0111524822695033</v>
      </c>
      <c r="E19" s="18">
        <f>(G15-F15)</f>
        <v>977.63999999999987</v>
      </c>
      <c r="F19" s="2">
        <f>G19*D72</f>
        <v>966.85714285714289</v>
      </c>
      <c r="G19" s="18">
        <v>1</v>
      </c>
      <c r="H19" s="14">
        <v>0.98</v>
      </c>
      <c r="I19" s="5"/>
    </row>
    <row r="21" spans="1:13">
      <c r="A21" s="2" t="s">
        <v>41</v>
      </c>
    </row>
    <row r="22" spans="1:13">
      <c r="A22" s="2" t="s">
        <v>42</v>
      </c>
    </row>
    <row r="24" spans="1:13">
      <c r="M24" s="13"/>
    </row>
    <row r="30" spans="1:13">
      <c r="A30" s="12"/>
      <c r="B30" s="12"/>
      <c r="C30" s="12"/>
      <c r="D30" s="12"/>
      <c r="E30" s="12"/>
      <c r="F30" s="12"/>
      <c r="G30" s="12"/>
      <c r="H30" s="12"/>
      <c r="I30" s="12"/>
    </row>
    <row r="31" spans="1:13">
      <c r="A31" s="1" t="s">
        <v>43</v>
      </c>
      <c r="B31" s="2" t="s">
        <v>44</v>
      </c>
      <c r="C31" s="2" t="s">
        <v>45</v>
      </c>
      <c r="D31" s="2" t="s">
        <v>46</v>
      </c>
      <c r="E31" s="2" t="s">
        <v>47</v>
      </c>
      <c r="F31" s="2" t="s">
        <v>48</v>
      </c>
      <c r="G31" s="2" t="s">
        <v>49</v>
      </c>
      <c r="H31" s="2" t="s">
        <v>50</v>
      </c>
    </row>
    <row r="32" spans="1:13">
      <c r="A32" s="5" t="e">
        <f>B32/H32*1000</f>
        <v>#DIV/0!</v>
      </c>
      <c r="F32" s="14" t="e">
        <f>D32/(C32+D32)</f>
        <v>#DIV/0!</v>
      </c>
      <c r="G32" s="14" t="e">
        <f>1-F32</f>
        <v>#DIV/0!</v>
      </c>
      <c r="H32" s="2">
        <f>D32+C32</f>
        <v>0</v>
      </c>
    </row>
    <row r="33" spans="1:12">
      <c r="A33" s="2" t="s">
        <v>51</v>
      </c>
      <c r="B33" s="2" t="s">
        <v>52</v>
      </c>
      <c r="C33" s="2" t="s">
        <v>53</v>
      </c>
      <c r="D33" s="1" t="s">
        <v>54</v>
      </c>
      <c r="E33" s="1" t="s">
        <v>55</v>
      </c>
      <c r="F33" s="1" t="s">
        <v>17</v>
      </c>
      <c r="G33" s="2" t="s">
        <v>56</v>
      </c>
    </row>
    <row r="34" spans="1:12">
      <c r="A34" s="5">
        <v>200</v>
      </c>
      <c r="B34" s="2" t="e">
        <f>(A32*(C34/1000))/(G34/1000)</f>
        <v>#DIV/0!</v>
      </c>
      <c r="C34" s="2">
        <v>4000</v>
      </c>
      <c r="D34" s="2" t="e">
        <f>A34*G34/$A$32</f>
        <v>#DIV/0!</v>
      </c>
      <c r="E34" s="3">
        <f>G34-C34</f>
        <v>6000</v>
      </c>
      <c r="F34" s="2">
        <f>G34/C34</f>
        <v>2.5</v>
      </c>
      <c r="G34" s="2">
        <v>10000</v>
      </c>
    </row>
    <row r="37" spans="1:12">
      <c r="A37" s="2" t="s">
        <v>25</v>
      </c>
    </row>
    <row r="38" spans="1:12">
      <c r="A38" s="2" t="s">
        <v>57</v>
      </c>
      <c r="B38" s="2" t="s">
        <v>58</v>
      </c>
      <c r="C38" s="2" t="s">
        <v>19</v>
      </c>
      <c r="D38" s="2" t="s">
        <v>59</v>
      </c>
      <c r="E38" s="2" t="s">
        <v>60</v>
      </c>
      <c r="F38" s="2" t="s">
        <v>17</v>
      </c>
      <c r="G38" s="2" t="s">
        <v>61</v>
      </c>
      <c r="H38" s="2" t="s">
        <v>62</v>
      </c>
      <c r="I38" s="2" t="s">
        <v>63</v>
      </c>
      <c r="J38" s="2" t="s">
        <v>64</v>
      </c>
      <c r="K38" s="2" t="s">
        <v>65</v>
      </c>
    </row>
    <row r="39" spans="1:12">
      <c r="A39" s="2">
        <v>1</v>
      </c>
      <c r="B39" s="4">
        <v>602.45299999999997</v>
      </c>
      <c r="C39" s="2">
        <v>98.268000000000001</v>
      </c>
      <c r="D39" s="4">
        <f>AVERAGE(B39:B41)</f>
        <v>602.45299999999997</v>
      </c>
      <c r="E39" s="2">
        <f>((D39-INTERCEPT(S2:S6,B2:B6))/(SLOPE(S2:S6,B2:B6)))</f>
        <v>146.89129018458675</v>
      </c>
      <c r="F39" s="2">
        <f>R6*R5</f>
        <v>9.8098170222588212</v>
      </c>
      <c r="G39" s="2">
        <f>E39*F39</f>
        <v>1440.9766788743193</v>
      </c>
      <c r="H39" s="2">
        <f>G39*D19</f>
        <v>1457.0471457362328</v>
      </c>
      <c r="I39" s="8">
        <f>(H39/1000)</f>
        <v>1.4570471457362328</v>
      </c>
      <c r="J39" s="14">
        <f>((ABS(I39-C19)/C19))</f>
        <v>0.45704714573623284</v>
      </c>
      <c r="K39" s="15">
        <f>AVERAGE(C39:C41)/100</f>
        <v>0.98268</v>
      </c>
      <c r="L39" s="13"/>
    </row>
    <row r="40" spans="1:12">
      <c r="A40" s="2">
        <v>2</v>
      </c>
      <c r="B40" s="4"/>
    </row>
    <row r="41" spans="1:12">
      <c r="A41" s="2">
        <v>3</v>
      </c>
      <c r="B41" s="4"/>
    </row>
    <row r="43" spans="1:12">
      <c r="B43" s="22" t="s">
        <v>66</v>
      </c>
      <c r="C43" s="22"/>
      <c r="D43" s="22"/>
      <c r="E43" s="22"/>
      <c r="F43" s="22"/>
      <c r="G43" s="22"/>
    </row>
    <row r="44" spans="1:12">
      <c r="B44" s="23"/>
      <c r="C44" s="23"/>
      <c r="D44" s="23"/>
      <c r="E44" s="23"/>
      <c r="F44" s="23"/>
      <c r="G44" s="23"/>
    </row>
    <row r="45" spans="1:12">
      <c r="B45" s="2" t="s">
        <v>67</v>
      </c>
      <c r="C45" s="2" t="s">
        <v>68</v>
      </c>
      <c r="D45" s="2" t="s">
        <v>69</v>
      </c>
      <c r="E45" s="2" t="s">
        <v>70</v>
      </c>
      <c r="F45" s="2" t="s">
        <v>71</v>
      </c>
      <c r="G45" s="2" t="s">
        <v>72</v>
      </c>
    </row>
    <row r="46" spans="1:12">
      <c r="B46" s="19">
        <f>I39</f>
        <v>1.4570471457362328</v>
      </c>
      <c r="C46" s="7">
        <f>C19</f>
        <v>1</v>
      </c>
      <c r="D46" s="17">
        <f>J39</f>
        <v>0.45704714573623284</v>
      </c>
      <c r="E46" s="17">
        <f>K39</f>
        <v>0.98268</v>
      </c>
      <c r="F46" s="17">
        <f>H19</f>
        <v>0.98</v>
      </c>
      <c r="G46" s="17">
        <f>((ABS(E46-F46)/F46))</f>
        <v>2.7346938775510365E-3</v>
      </c>
    </row>
    <row r="48" spans="1:12">
      <c r="E48" s="15"/>
    </row>
    <row r="50" spans="1:8">
      <c r="A50" s="2" t="s">
        <v>73</v>
      </c>
      <c r="B50" s="2" t="s">
        <v>74</v>
      </c>
    </row>
    <row r="51" spans="1:8">
      <c r="A51" s="2">
        <v>0.78600000000000003</v>
      </c>
      <c r="B51" s="2">
        <f>A51*1000</f>
        <v>786</v>
      </c>
    </row>
    <row r="52" spans="1:8">
      <c r="B52" s="16"/>
      <c r="C52" s="16"/>
      <c r="D52" s="16"/>
      <c r="E52" s="16"/>
      <c r="F52" s="16"/>
      <c r="G52" s="16"/>
    </row>
    <row r="54" spans="1:8">
      <c r="D54" s="8"/>
      <c r="E54" s="15"/>
      <c r="F54" s="15"/>
      <c r="G54" s="8"/>
    </row>
    <row r="55" spans="1:8">
      <c r="B55" s="2">
        <f>500/3</f>
        <v>166.66666666666666</v>
      </c>
    </row>
    <row r="57" spans="1:8" s="12" customFormat="1"/>
    <row r="58" spans="1:8">
      <c r="A58" t="s">
        <v>75</v>
      </c>
      <c r="B58"/>
      <c r="C58"/>
      <c r="D58"/>
      <c r="E58"/>
      <c r="F58"/>
      <c r="G58"/>
      <c r="H58"/>
    </row>
    <row r="59" spans="1:8">
      <c r="A59"/>
      <c r="B59" t="s">
        <v>76</v>
      </c>
      <c r="C59" t="s">
        <v>77</v>
      </c>
      <c r="D59" t="s">
        <v>78</v>
      </c>
      <c r="E59" t="s">
        <v>79</v>
      </c>
      <c r="F59" t="s">
        <v>80</v>
      </c>
      <c r="G59" t="s">
        <v>81</v>
      </c>
      <c r="H59" t="s">
        <v>82</v>
      </c>
    </row>
    <row r="60" spans="1:8">
      <c r="A60"/>
      <c r="B60" s="10">
        <v>6000</v>
      </c>
      <c r="C60" s="9">
        <v>0</v>
      </c>
      <c r="D60" s="11">
        <v>1</v>
      </c>
      <c r="E60" s="11">
        <v>0</v>
      </c>
      <c r="F60">
        <f>B60*C60</f>
        <v>0</v>
      </c>
      <c r="G60">
        <f>B60*D60</f>
        <v>6000</v>
      </c>
      <c r="H60">
        <f>+B60*E60</f>
        <v>0</v>
      </c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 t="s">
        <v>83</v>
      </c>
      <c r="C63" t="s">
        <v>77</v>
      </c>
      <c r="D63" t="s">
        <v>78</v>
      </c>
      <c r="E63" t="s">
        <v>79</v>
      </c>
      <c r="F63" t="s">
        <v>80</v>
      </c>
      <c r="G63" t="s">
        <v>81</v>
      </c>
      <c r="H63" t="s">
        <v>82</v>
      </c>
    </row>
    <row r="64" spans="1:8">
      <c r="A64"/>
      <c r="B64" s="10">
        <v>1000</v>
      </c>
      <c r="C64" s="9">
        <v>0</v>
      </c>
      <c r="D64" s="20">
        <v>0</v>
      </c>
      <c r="E64" s="11">
        <v>1</v>
      </c>
      <c r="F64">
        <f>B64*C64</f>
        <v>0</v>
      </c>
      <c r="G64">
        <f>B64*D64</f>
        <v>0</v>
      </c>
      <c r="H64">
        <f>+B64*E64</f>
        <v>1000</v>
      </c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 t="s">
        <v>84</v>
      </c>
      <c r="C67" t="s">
        <v>85</v>
      </c>
      <c r="D67" t="s">
        <v>86</v>
      </c>
      <c r="E67" t="s">
        <v>87</v>
      </c>
      <c r="F67"/>
      <c r="G67"/>
      <c r="H67"/>
    </row>
    <row r="68" spans="1:8">
      <c r="A68"/>
      <c r="B68">
        <f>F60+G60+H60+F64+G64+H64</f>
        <v>7000</v>
      </c>
      <c r="C68">
        <f>(F60+F64)/B68*100</f>
        <v>0</v>
      </c>
      <c r="D68" s="11">
        <f>(G60+G64)/B68</f>
        <v>0.8571428571428571</v>
      </c>
      <c r="E68" s="11">
        <f>(H60+H64)/B68</f>
        <v>0.14285714285714285</v>
      </c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 t="s">
        <v>88</v>
      </c>
      <c r="C71" t="s">
        <v>89</v>
      </c>
      <c r="D71" t="s">
        <v>90</v>
      </c>
      <c r="E71"/>
      <c r="F71"/>
      <c r="G71"/>
      <c r="H71"/>
    </row>
    <row r="72" spans="1:8">
      <c r="A72"/>
      <c r="B72">
        <f>0.997*1000</f>
        <v>997</v>
      </c>
      <c r="C72">
        <f>0.786*1000</f>
        <v>786</v>
      </c>
      <c r="D72">
        <f>B72*D68+C72*E68</f>
        <v>966.85714285714289</v>
      </c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>
        <v>753</v>
      </c>
      <c r="C79"/>
      <c r="D79"/>
      <c r="E79"/>
      <c r="F79"/>
      <c r="G79"/>
      <c r="H79"/>
    </row>
    <row r="80" spans="1:8">
      <c r="A80"/>
      <c r="B80">
        <f>B79/(C72/1000)</f>
        <v>958.01526717557249</v>
      </c>
      <c r="C80"/>
      <c r="D80"/>
      <c r="E80"/>
      <c r="F80"/>
      <c r="G80"/>
      <c r="H80"/>
    </row>
  </sheetData>
  <mergeCells count="1">
    <mergeCell ref="B43:G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40B51F62CD5E488FDFA4B8D957F3C7" ma:contentTypeVersion="12" ma:contentTypeDescription="Create a new document." ma:contentTypeScope="" ma:versionID="e1a59fa2bd1b2fbb91e45039904bb95a">
  <xsd:schema xmlns:xsd="http://www.w3.org/2001/XMLSchema" xmlns:xs="http://www.w3.org/2001/XMLSchema" xmlns:p="http://schemas.microsoft.com/office/2006/metadata/properties" xmlns:ns2="542608cd-9820-4a07-8dee-4cdf5e953b4c" xmlns:ns3="5d7aabd9-4ee4-4646-94cb-db5d3934bb04" targetNamespace="http://schemas.microsoft.com/office/2006/metadata/properties" ma:root="true" ma:fieldsID="c9de2e88d10f40981b587ee8c0b8a05a" ns2:_="" ns3:_="">
    <xsd:import namespace="542608cd-9820-4a07-8dee-4cdf5e953b4c"/>
    <xsd:import namespace="5d7aabd9-4ee4-4646-94cb-db5d3934b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2608cd-9820-4a07-8dee-4cdf5e953b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f01027-e4ee-4c2c-8013-f5e48d8161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aabd9-4ee4-4646-94cb-db5d3934bb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d0abc2-c31d-46ad-9463-f2a501061aa2}" ma:internalName="TaxCatchAll" ma:showField="CatchAllData" ma:web="5d7aabd9-4ee4-4646-94cb-db5d3934bb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7aabd9-4ee4-4646-94cb-db5d3934bb04" xsi:nil="true"/>
    <lcf76f155ced4ddcb4097134ff3c332f xmlns="542608cd-9820-4a07-8dee-4cdf5e953b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1A2D79-AA54-4999-AC7F-C07509A62AA4}"/>
</file>

<file path=customXml/itemProps2.xml><?xml version="1.0" encoding="utf-8"?>
<ds:datastoreItem xmlns:ds="http://schemas.openxmlformats.org/officeDocument/2006/customXml" ds:itemID="{A94EF5A9-41DF-4B96-A755-88FA75996489}"/>
</file>

<file path=customXml/itemProps3.xml><?xml version="1.0" encoding="utf-8"?>
<ds:datastoreItem xmlns:ds="http://schemas.openxmlformats.org/officeDocument/2006/customXml" ds:itemID="{79DB0FC5-E3AF-46B5-9C90-B8C6D609FC61}"/>
</file>

<file path=customXml/itemProps4.xml><?xml version="1.0" encoding="utf-8"?>
<ds:datastoreItem xmlns:ds="http://schemas.openxmlformats.org/officeDocument/2006/customXml" ds:itemID="{9218E3D4-9B8C-47EF-A983-345A1829A4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Dennis</dc:creator>
  <cp:keywords/>
  <dc:description/>
  <cp:lastModifiedBy>Dennis Nguyen</cp:lastModifiedBy>
  <cp:revision/>
  <dcterms:created xsi:type="dcterms:W3CDTF">2025-06-19T21:57:31Z</dcterms:created>
  <dcterms:modified xsi:type="dcterms:W3CDTF">2026-01-13T23:29:59Z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0x010100C740B51F62CD5E488FDFA4B8D957F3C7</vt:lpwstr>
  </property>
  <property fmtid="{D5CDD505-2E9C-101B-9397-08002B2CF9AE}" pid="3" name="MediaServiceImageTags">
    <vt:lpwstr/>
  </property>
</Properties>
</file>